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Сводка" sheetId="2" r:id="rId5"/>
    <sheet name="План закупки" sheetId="3" r:id="rId6"/>
    <sheet name="Купить_сейчас" sheetId="4" r:id="rId7"/>
    <sheet name="Купить_скоро" sheetId="5" r:id="rId8"/>
    <sheet name="Отложить" sheetId="6" r:id="rId9"/>
    <sheet name="Сравнение_вычислителей" sheetId="7" r:id="rId10"/>
    <sheet name="Источники" sheetId="8" r:id="rId11"/>
  </sheets>
</workbook>
</file>

<file path=xl/sharedStrings.xml><?xml version="1.0" encoding="utf-8"?>
<sst xmlns="http://schemas.openxmlformats.org/spreadsheetml/2006/main" uniqueCount="272">
  <si>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</si>
  <si>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</si>
  <si>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</si>
  <si>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</si>
  <si>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Сводка</t>
  </si>
  <si>
    <t>Table 1</t>
  </si>
  <si>
    <t>Third Arm — Смета закупки v0.16</t>
  </si>
  <si>
    <t>Назначение</t>
  </si>
  <si>
    <t>Separate Stage 1 blockers from acceleration purchases and deferred items so parallel buying does not damage architecture.</t>
  </si>
  <si>
    <t>Бюджетная рамка</t>
  </si>
  <si>
    <t>If you already own basic tools and enough filament, the pragmatic Stage 1 blocker set is roughly 37k–56k RUB. Купить скоро extras add ~7.5k–20k RUB with the Pi camera path, or ~22k–45k RUB if you jump straight to OAK-D Lite.</t>
  </si>
  <si>
    <t>Примечание по курсам/якорям</t>
  </si>
  <si>
    <t>RUB estimates use 24.03.2026 Bank of Russia reference rates for EUR/USD where web anchors were in EUR/USD, then widened into RF/CN purchase corridors. Engineering-estimate rows stay as corridors.</t>
  </si>
  <si>
    <t>Архитектурное правило</t>
  </si>
  <si>
    <t>Substitutions are allowed only if they preserve desktop-first Stage 1, operator-triggered control, camera-ready geometry, REST+WebSocket northbound, 24V rail, hardwired safety, and replay-capable logging.</t>
  </si>
  <si>
    <t>Basket</t>
  </si>
  <si>
    <t>Min RUB</t>
  </si>
  <si>
    <t>Max RUB</t>
  </si>
  <si>
    <t>Комментарий</t>
  </si>
  <si>
    <t>Купить сейчас</t>
  </si>
  <si>
    <t>Stage 1 blocker set</t>
  </si>
  <si>
    <t>Купить скоро (Pi camera path, excluding premium camera)</t>
  </si>
  <si>
    <t>Reasonable Stage 1.5 starter add-ons</t>
  </si>
  <si>
    <t>Купить скоро premium delta (choose OAK-D Lite instead of Pi camera)</t>
  </si>
  <si>
    <t>Extra spend above Pi camera path</t>
  </si>
  <si>
    <t>Отложитьred / Stage 2+</t>
  </si>
  <si>
    <t>Do not pull into Stage 1 without explicit reason</t>
  </si>
  <si>
    <t>План закупки</t>
  </si>
  <si>
    <t>Группа</t>
  </si>
  <si>
    <t>Позиция</t>
  </si>
  <si>
    <t>Покупаем сейчас</t>
  </si>
  <si>
    <t>Нужно к bring-up</t>
  </si>
  <si>
    <t>Можно отложить</t>
  </si>
  <si>
    <t>Печатать уже сейчас</t>
  </si>
  <si>
    <t>Не печатать пока</t>
  </si>
  <si>
    <t>Вычисления</t>
  </si>
  <si>
    <t>Edge compute starter kit</t>
  </si>
  <si>
    <t>Да</t>
  </si>
  <si>
    <t>Нет</t>
  </si>
  <si>
    <t>Приводы</t>
  </si>
  <si>
    <t>Serial-bus actuator set + bus adapter</t>
  </si>
  <si>
    <t>Питание</t>
  </si>
  <si>
    <t>24V bench PSU + buck modules + fuse/terminal/wires</t>
  </si>
  <si>
    <t>Безопасность</t>
  </si>
  <si>
    <t>E-stop + main switch + inline protection</t>
  </si>
  <si>
    <t>Управление</t>
  </si>
  <si>
    <t>Physical operator trigger / footswitch</t>
  </si>
  <si>
    <t>Механика</t>
  </si>
  <si>
    <t>Desktop dock structural hardware, bearings, inserts, fasteners</t>
  </si>
  <si>
    <t>Частично: только test-fit печатные детали под эту механику</t>
  </si>
  <si>
    <t>Финальные закрывающие кожухи</t>
  </si>
  <si>
    <t>Оснастка</t>
  </si>
  <si>
    <t>Source slots для mug / flashlight / ball</t>
  </si>
  <si>
    <t>Да: S-01 и все test-fit вставки/лайнеры</t>
  </si>
  <si>
    <t>Финальные косметические версии</t>
  </si>
  <si>
    <t>Расходники</t>
  </si>
  <si>
    <t>PETG / ABS / TPU, threadlocker, heatshrink, connectors</t>
  </si>
  <si>
    <t>Зрение</t>
  </si>
  <si>
    <t>Pi Camera Module 3 / AI Camera</t>
  </si>
  <si>
    <t>Да, купить soon</t>
  </si>
  <si>
    <t>Да, финальный camera bracket до прихода камеры</t>
  </si>
  <si>
    <t>OAK-D Lite</t>
  </si>
  <si>
    <t>Да, только как premium path</t>
  </si>
  <si>
    <t>Сенсоры</t>
  </si>
  <si>
    <t>IMU module</t>
  </si>
  <si>
    <t>Освещение</t>
  </si>
  <si>
    <t>Bench light + adjustable brackets</t>
  </si>
  <si>
    <t>Желательно</t>
  </si>
  <si>
    <t>Да: простой печатный light bracket при необходимости</t>
  </si>
  <si>
    <t>Финальный интегрированный bracket</t>
  </si>
  <si>
    <t>Сервис</t>
  </si>
  <si>
    <t>Spare cables / sleeve / service wiring lot</t>
  </si>
  <si>
    <t>Да: cable clips / guides / spacers</t>
  </si>
  <si>
    <t>Финальные routing covers</t>
  </si>
  <si>
    <t>Intent / signals</t>
  </si>
  <si>
    <t>sEMG kit</t>
  </si>
  <si>
    <t>Wearable</t>
  </si>
  <si>
    <t>Body mount hardware</t>
  </si>
  <si>
    <t>Да: любые wearable детали</t>
  </si>
  <si>
    <t>On-body battery path</t>
  </si>
  <si>
    <t>Compute upgrade</t>
  </si>
  <si>
    <t>Jetson / higher-end perception compute</t>
  </si>
  <si>
    <t>Печатные детали Stage 1</t>
  </si>
  <si>
    <t>P-01 Dock base plate</t>
  </si>
  <si>
    <t>—</t>
  </si>
  <si>
    <t>Да, prototype/test-fit версия</t>
  </si>
  <si>
    <t>Финальную production-версию</t>
  </si>
  <si>
    <t>P-02 Base / service housing</t>
  </si>
  <si>
    <t>Финальные cutouts под точные разъемы</t>
  </si>
  <si>
    <t>P-03 Shoulder link shell</t>
  </si>
  <si>
    <t>Да, но лучше после получения реальных приводов</t>
  </si>
  <si>
    <t>Да, если есть точные габариты приводов; иначе только грубый mock shell</t>
  </si>
  <si>
    <t>Финальную силовую версию</t>
  </si>
  <si>
    <t>P-04 Elbow housing</t>
  </si>
  <si>
    <t>Да, если приводы уже на руках; иначе отложить до fit-check</t>
  </si>
  <si>
    <t>P-05 Forearm link</t>
  </si>
  <si>
    <t>Да, если цепочка P-03/P-04 подтверждена; иначе отложить</t>
  </si>
  <si>
    <t>P-06 Wrist housing</t>
  </si>
  <si>
    <t>Да, но лучше после получения реального end-effector interface</t>
  </si>
  <si>
    <t>Только test-fit версия</t>
  </si>
  <si>
    <t>Финальную рабочую версию</t>
  </si>
  <si>
    <t>P-07 Gripper shells + pads</t>
  </si>
  <si>
    <t>Да, prototype/test-fit версия + TPU pads</t>
  </si>
  <si>
    <t>Финальные рабочие накладки под точный захват</t>
  </si>
  <si>
    <t>P-09 Vertical support / bridge</t>
  </si>
  <si>
    <t>Желательно к bring-up bench geometry</t>
  </si>
  <si>
    <t>Да, prototype версия</t>
  </si>
  <si>
    <t>Финальную жесткую версию</t>
  </si>
  <si>
    <t>S-01 Slot tray</t>
  </si>
  <si>
    <t>Финальную косметическую версию</t>
  </si>
  <si>
    <t>Общее правило печати</t>
  </si>
  <si>
    <t>Functional print set</t>
  </si>
  <si>
    <t>Печатать сейчас: S-01, P-01, P-02, P-07, cable guides, temporary brackets, fit-check versions of P-03/P-04/P-05/P-06/P-09</t>
  </si>
  <si>
    <t>Не печатать пока: финальный внешний корпус, финальные кожухи, финальный camera bracket, wearable/base-on-body детали</t>
  </si>
  <si>
    <t>Купить_сейчас</t>
  </si>
  <si>
    <t>Этап</t>
  </si>
  <si>
    <t>Категория</t>
  </si>
  <si>
    <t>Кол-во</t>
  </si>
  <si>
    <t>Статус</t>
  </si>
  <si>
    <t>Основной вариант</t>
  </si>
  <si>
    <t>Подходящие аналоги</t>
  </si>
  <si>
    <t>Зачем нужна</t>
  </si>
  <si>
    <t>Мин. оценка ₽</t>
  </si>
  <si>
    <t>Макс. оценка ₽</t>
  </si>
  <si>
    <t>Приоритет покупки</t>
  </si>
  <si>
    <t>Stage 1</t>
  </si>
  <si>
    <t>Raspberry Pi 5 8GB + PSU + storage + cooling</t>
  </si>
  <si>
    <t>Orange Pi 5 Pro/Plus; Jetson Orin Nano Super (costlier)</t>
  </si>
  <si>
    <t>Edge API, logging/replay, operator control plane</t>
  </si>
  <si>
    <t>Блокер</t>
  </si>
  <si>
    <t>Pi 5 is the pragmatic default. Keep mount/cooling serviceable.</t>
  </si>
  <si>
    <t>Serial-bus actuator set</t>
  </si>
  <si>
    <t>5x Feetech STS3215 + 1x ST/SC adapter</t>
  </si>
  <si>
    <t>Mixed STS3215/STS3250 on proximal joints; DYNAMIXEL only if budget expands</t>
  </si>
  <si>
    <t>Arm motion core for first desktop handover loop</t>
  </si>
  <si>
    <t>Stay on one bus strategy. Do not mix ecosystems casually.</t>
  </si>
  <si>
    <t>Bench power path</t>
  </si>
  <si>
    <t>24V 350W PSU + 24-&gt;5V/12V buck modules + fuse/terminal/wire set</t>
  </si>
  <si>
    <t>Any trustworthy 24V industrial PSU + DC-DC set with margin</t>
  </si>
  <si>
    <t>24V rail, local split rails, safe bring-up</t>
  </si>
  <si>
    <t>Do not cheap out on PSU quality and fuse path.</t>
  </si>
  <si>
    <t>Hardwired safety set</t>
  </si>
  <si>
    <t>22mm E-stop + main switch + inline protection</t>
  </si>
  <si>
    <t>Industrial panel E-stop equivalents</t>
  </si>
  <si>
    <t>Bench-safe stop path before motion experiments</t>
  </si>
  <si>
    <t>This is not optional for real actuator bring-up.</t>
  </si>
  <si>
    <t>Physical operator trigger</t>
  </si>
  <si>
    <t>Push button or footswitch</t>
  </si>
  <si>
    <t>Any robust normally-open trigger with strain relief</t>
  </si>
  <si>
    <t>Main Stage 1 user stimulus while hands are busy</t>
  </si>
  <si>
    <t>Prefer something easy to hit without visual attention.</t>
  </si>
  <si>
    <t>Desktop dock structural hardware</t>
  </si>
  <si>
    <t>Printed dock + inserts + bearings + brackets + fasteners</t>
  </si>
  <si>
    <t>Equivalent RF/CN metal hardware that matches geometry</t>
  </si>
  <si>
    <t>Bench-safe base and arm-core mounting</t>
  </si>
  <si>
    <t>Do not buy wearable mount hardware yet.</t>
  </si>
  <si>
    <t>Source slots for mug / flashlight / ball</t>
  </si>
  <si>
    <t>Printed fixtures + liners/magnets</t>
  </si>
  <si>
    <t>Same geometry in PETG/ABS/TPU mix</t>
  </si>
  <si>
    <t>Slot-first workspace discipline</t>
  </si>
  <si>
    <t>Cheap now, expensive in lost debugging time if skipped.</t>
  </si>
  <si>
    <t>Consumables</t>
  </si>
  <si>
    <t>Filament and assembly consumables</t>
  </si>
  <si>
    <t>PETG/ABS/TPU + threadlocker + heatshrink + connectors</t>
  </si>
  <si>
    <t>Equivalent materials already on hand</t>
  </si>
  <si>
    <t>Keeps printed iteration and rewiring moving</t>
  </si>
  <si>
    <t>Блокер if stock is low</t>
  </si>
  <si>
    <t>If you already have filament/connectors, real spend is lower.</t>
  </si>
  <si>
    <t>Купить_скоро</t>
  </si>
  <si>
    <t>Stage 1.5</t>
  </si>
  <si>
    <t>Camera body</t>
  </si>
  <si>
    <t>Купить скоро</t>
  </si>
  <si>
    <t>OAK-D Lite (premium); USB UVC webcam (cheap fallback)</t>
  </si>
  <si>
    <t>Observation overlay and camera-ready path activation</t>
  </si>
  <si>
    <t>Рекомендуется</t>
  </si>
  <si>
    <t>For one non-throwaway purchase with Pi path, Camera Module 3 is the least painful.</t>
  </si>
  <si>
    <t>Premium camera option</t>
  </si>
  <si>
    <t>Better path if you want depth and stronger Stage 2 carry-over</t>
  </si>
  <si>
    <t>Опциональный апгрейд</t>
  </si>
  <si>
    <t>Good only if budget can absorb it without delaying motion bring-up.</t>
  </si>
  <si>
    <t>BNO085/BNO086 breakout</t>
  </si>
  <si>
    <t>ICM/ISM-class IMU if supported later</t>
  </si>
  <si>
    <t>Cheap path into body-side motion experiments</t>
  </si>
  <si>
    <t>Earlier and easier than sEMG.</t>
  </si>
  <si>
    <t>Bench lighting / mount accessories</t>
  </si>
  <si>
    <t>Small LED light + adjustable brackets</t>
  </si>
  <si>
    <t>Any non-flickering bench lighting</t>
  </si>
  <si>
    <t>Stabilizes perception experiments</t>
  </si>
  <si>
    <t>Often more important than camera spec.</t>
  </si>
  <si>
    <t>Сервисопригодность</t>
  </si>
  <si>
    <t>Cable upgrades and spares</t>
  </si>
  <si>
    <t>Spare USB/service cables, connectors, braided sleeve</t>
  </si>
  <si>
    <t>Equivalent service wiring lot</t>
  </si>
  <si>
    <t>Avoids rework when camera goes live</t>
  </si>
  <si>
    <t>Small spend, high frustration reduction.</t>
  </si>
  <si>
    <t>Отложить</t>
  </si>
  <si>
    <t>Stage 2</t>
  </si>
  <si>
    <t>Intent/сигналы</t>
  </si>
  <si>
    <t>MyoWare 2 kit + pads</t>
  </si>
  <si>
    <t>Other sEMG dev kits with documented analog chain</t>
  </si>
  <si>
    <t>Multimodal intent input R&amp;D</t>
  </si>
  <si>
    <t>Отложитьred</t>
  </si>
  <si>
    <t>Do not let this delay the first bench handover.</t>
  </si>
  <si>
    <t>Носимый модуль</t>
  </si>
  <si>
    <t>Носимый модуль base plate + straps + soft pads</t>
  </si>
  <si>
    <t>Mount-specific hardware after mount study</t>
  </si>
  <si>
    <t>Only after bench validation and mount study</t>
  </si>
  <si>
    <t>Buying early is how scope creeps back into Stage 1.</t>
  </si>
  <si>
    <t>Battery pack + BMS + charger + enclosure</t>
  </si>
  <si>
    <t>External docked power until body-mode is justified</t>
  </si>
  <si>
    <t>Носимый модуль autonomy and cable-free experiments</t>
  </si>
  <si>
    <t>Keep Stage 1 on bench power.</t>
  </si>
  <si>
    <t>Stage 2/3</t>
  </si>
  <si>
    <t>Higher-end perception compute</t>
  </si>
  <si>
    <t>Jetson Orin Nano Super or equivalent</t>
  </si>
  <si>
    <t>Mini-PC/N100 or later CM5-class path depending needs</t>
  </si>
  <si>
    <t>Only when continuous vision or multimodal models prove necessary</t>
  </si>
  <si>
    <t>Do not buy compute headroom before the Pi path is actually limiting.</t>
  </si>
  <si>
    <t>Сравнение_вычислителей</t>
  </si>
  <si>
    <t>Параметр</t>
  </si>
  <si>
    <t>Raspberry Pi 5 8GB</t>
  </si>
  <si>
    <t>Orange Pi 5 Pro / Plus class</t>
  </si>
  <si>
    <t>Jetson Orin Nano Super</t>
  </si>
  <si>
    <t>Почему рассматривать</t>
  </si>
  <si>
    <t>Best fit for current Stage 1 control/logging scope</t>
  </si>
  <si>
    <t>Useful RF/CN alternative if Pi supply is bad</t>
  </si>
  <si>
    <t>Only buy if you knowingly pay for future perception headroom</t>
  </si>
  <si>
    <t>Официальные / базовые заметки по compute</t>
  </si>
  <si>
    <t>BCM2712 quad-core Arm Cortex-A76 @ 2.4GHz; up to 16GB family</t>
  </si>
  <si>
    <t>RK3588-class 8-core SoC up to 2.4GHz</t>
  </si>
  <si>
    <t>67 TOPS, 8GB LPDDR5, 7W–25W</t>
  </si>
  <si>
    <t>Текущий ценовой якорь в вебе</t>
  </si>
  <si>
    <t>€107–€128 board-only market anchors</t>
  </si>
  <si>
    <t>Price discovery inconsistent; treat as market-adaptive substitute</t>
  </si>
  <si>
    <t>$249 official / ~€215–€325 current distributor anchors</t>
  </si>
  <si>
    <t>Вердикт по закупке</t>
  </si>
  <si>
    <t>Рекомендуется default</t>
  </si>
  <si>
    <t>Условный substitute</t>
  </si>
  <si>
    <t>Intent/сигналыional upgrade only</t>
  </si>
  <si>
    <t>Попадание по стадии</t>
  </si>
  <si>
    <t>Stage 1 / 1.5</t>
  </si>
  <si>
    <t>Stage 1 / 1.5 if trusted seller found</t>
  </si>
  <si>
    <t>Stage 2+ or premium Stage 1.5</t>
  </si>
  <si>
    <t>Источники</t>
  </si>
  <si>
    <t>Тема</t>
  </si>
  <si>
    <t>Якорь / источник</t>
  </si>
  <si>
    <t>GitHub publish from local repo</t>
  </si>
  <si>
    <t>GitHub Docs: add locally hosted code to GitHub; create repo; manage remote repositories.</t>
  </si>
  <si>
    <t>CI workflow pattern</t>
  </si>
  <si>
    <t>GitHub Docs: Building and testing Python with GitHub Actions.</t>
  </si>
  <si>
    <t>Pi 5 specs</t>
  </si>
  <si>
    <t>Raspberry Pi official product page.</t>
  </si>
  <si>
    <t>Orange Pi specs</t>
  </si>
  <si>
    <t>Orange Pi official Orange Pi 5 Plus / 5 Pro product pages.</t>
  </si>
  <si>
    <t>Jetson Orin Nano Super specs and official price</t>
  </si>
  <si>
    <t>NVIDIA official Jetson Orin Nano Super Developer Kit page / buy page.</t>
  </si>
  <si>
    <t>Pi 5 current price anchor</t>
  </si>
  <si>
    <t>Current product results: Mouser / AliExpress.</t>
  </si>
  <si>
    <t>Jetson current price anchors</t>
  </si>
  <si>
    <t>Current product results: DFRobot / Kiwi / others.</t>
  </si>
  <si>
    <t>24V PSU price anchor</t>
  </si>
  <si>
    <t>Current product results for Mean Well LRS-350-24.</t>
  </si>
  <si>
    <t>Feetech servo specs</t>
  </si>
  <si>
    <t>Feetech official STS3215 / STS3250 pages.</t>
  </si>
  <si>
    <t>Feetech current price anchor</t>
  </si>
  <si>
    <t>Current product results for STS3215 / STS3250.</t>
  </si>
  <si>
    <t>Camera specs and price</t>
  </si>
  <si>
    <t>Raspberry Pi Camera Module 3 official page and current merchant anchors.</t>
  </si>
  <si>
    <t>IMU and sEMG price anchors</t>
  </si>
  <si>
    <t>Current product results for BNO085/BNO086 and MyoWare 2.</t>
  </si>
  <si>
    <t>FX reference for RUB conversion</t>
  </si>
  <si>
    <t>Bank of Russia 24.03.2026 official rates: USD 81.8763 RUB, EUR 94.7264 RUB.</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</si>
</sst>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12"/>
      <name val="Calibri"/>
    </font>
    <font>
      <b val="1"/>
      <sz val="12"/>
      <color indexed="8"/>
      <name val="Times Roman"/>
    </font>
    <font>
      <sz val="12"/>
      <color indexed="8"/>
      <name val="Times Roman"/>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s>
  <borders count="12">
    <border>
      <left/>
      <right/>
      <top/>
      <bottom/>
      <diagonal/>
    </border>
    <border>
      <left style="thin">
        <color indexed="14"/>
      </left>
      <right style="thin">
        <color indexed="14"/>
      </right>
      <top style="thin">
        <color indexed="14"/>
      </top>
      <bottom style="thin">
        <color indexed="14"/>
      </bottom>
      <diagonal/>
    </border>
    <border>
      <left style="thin">
        <color indexed="16"/>
      </left>
      <right style="thin">
        <color indexed="16"/>
      </right>
      <top style="thin">
        <color indexed="16"/>
      </top>
      <bottom style="thin">
        <color indexed="17"/>
      </bottom>
      <diagonal/>
    </border>
    <border>
      <left style="thin">
        <color indexed="16"/>
      </left>
      <right style="thin">
        <color indexed="17"/>
      </right>
      <top style="thin">
        <color indexed="17"/>
      </top>
      <bottom style="thin">
        <color indexed="16"/>
      </bottom>
      <diagonal/>
    </border>
    <border>
      <left style="thin">
        <color indexed="17"/>
      </left>
      <right style="thin">
        <color indexed="16"/>
      </right>
      <top style="thin">
        <color indexed="17"/>
      </top>
      <bottom style="thin">
        <color indexed="16"/>
      </bottom>
      <diagonal/>
    </border>
    <border>
      <left style="thin">
        <color indexed="16"/>
      </left>
      <right style="thin">
        <color indexed="16"/>
      </right>
      <top style="thin">
        <color indexed="17"/>
      </top>
      <bottom style="thin">
        <color indexed="16"/>
      </bottom>
      <diagonal/>
    </border>
    <border>
      <left style="thin">
        <color indexed="16"/>
      </left>
      <right style="thin">
        <color indexed="17"/>
      </right>
      <top style="thin">
        <color indexed="16"/>
      </top>
      <bottom style="thin">
        <color indexed="16"/>
      </bottom>
      <diagonal/>
    </border>
    <border>
      <left style="thin">
        <color indexed="17"/>
      </left>
      <right style="thin">
        <color indexed="16"/>
      </right>
      <top style="thin">
        <color indexed="16"/>
      </top>
      <bottom style="thin">
        <color indexed="16"/>
      </bottom>
      <diagonal/>
    </border>
    <border>
      <left style="thin">
        <color indexed="16"/>
      </left>
      <right style="thin">
        <color indexed="16"/>
      </right>
      <top style="thin">
        <color indexed="16"/>
      </top>
      <bottom style="thin">
        <color indexed="16"/>
      </bottom>
      <diagonal/>
    </border>
    <border>
      <left style="thin">
        <color indexed="18"/>
      </left>
      <right style="thin">
        <color indexed="18"/>
      </right>
      <top style="thin">
        <color indexed="14"/>
      </top>
      <bottom style="thin">
        <color indexed="18"/>
      </bottom>
      <diagonal/>
    </border>
    <border>
      <left style="thin">
        <color indexed="18"/>
      </left>
      <right style="thin">
        <color indexed="18"/>
      </right>
      <top style="thin">
        <color indexed="18"/>
      </top>
      <bottom style="thin">
        <color indexed="18"/>
      </bottom>
      <diagonal/>
    </border>
    <border>
      <left style="thin">
        <color indexed="14"/>
      </left>
      <right style="thin">
        <color indexed="18"/>
      </right>
      <top style="thin">
        <color indexed="18"/>
      </top>
      <bottom style="thin">
        <color indexed="18"/>
      </bottom>
      <diagonal/>
    </border>
  </borders>
  <cellStyleXfs count="1">
    <xf numFmtId="0" fontId="0" applyNumberFormat="0" applyFont="1" applyFill="0" applyBorder="0" applyAlignment="1" applyProtection="0">
      <alignment vertical="bottom"/>
    </xf>
  </cellStyleXfs>
  <cellXfs count="30">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center" wrapText="1"/>
    </xf>
    <xf numFmtId="0" fontId="6" fillId="4" borderId="1" applyNumberFormat="0" applyFont="1" applyFill="1" applyBorder="1" applyAlignment="1" applyProtection="0">
      <alignment vertical="center" wrapText="1"/>
    </xf>
    <xf numFmtId="49" fontId="6" fillId="5" borderId="1" applyNumberFormat="1" applyFont="1" applyFill="1" applyBorder="1" applyAlignment="1" applyProtection="0">
      <alignment vertical="center" wrapText="1"/>
    </xf>
    <xf numFmtId="49" fontId="0" fillId="5" borderId="1" applyNumberFormat="1" applyFont="1" applyFill="1" applyBorder="1" applyAlignment="1" applyProtection="0">
      <alignment vertical="center" wrapText="1"/>
    </xf>
    <xf numFmtId="0" fontId="0" fillId="5" borderId="1" applyNumberFormat="0" applyFont="1" applyFill="1" applyBorder="1" applyAlignment="1" applyProtection="0">
      <alignment vertical="center" wrapText="1"/>
    </xf>
    <xf numFmtId="0" fontId="0" fillId="5" borderId="1" applyNumberFormat="1" applyFont="1" applyFill="1" applyBorder="1" applyAlignment="1" applyProtection="0">
      <alignment vertical="center" wrapText="1"/>
    </xf>
    <xf numFmtId="0" fontId="0" applyNumberFormat="1" applyFont="1" applyFill="0" applyBorder="0" applyAlignment="1" applyProtection="0">
      <alignment vertical="bottom"/>
    </xf>
    <xf numFmtId="0" fontId="5" applyNumberFormat="0" applyFont="1" applyFill="0" applyBorder="0" applyAlignment="1" applyProtection="0">
      <alignment horizontal="center" vertical="center"/>
    </xf>
    <xf numFmtId="49" fontId="7" borderId="2" applyNumberFormat="1" applyFont="1" applyFill="0" applyBorder="1" applyAlignment="1" applyProtection="0">
      <alignment horizontal="center" vertical="center" readingOrder="1"/>
    </xf>
    <xf numFmtId="49" fontId="8" borderId="3" applyNumberFormat="1" applyFont="1" applyFill="0" applyBorder="1" applyAlignment="1" applyProtection="0">
      <alignment vertical="center" readingOrder="1"/>
    </xf>
    <xf numFmtId="49" fontId="8" borderId="4" applyNumberFormat="1" applyFont="1" applyFill="0" applyBorder="1" applyAlignment="1" applyProtection="0">
      <alignment vertical="center" readingOrder="1"/>
    </xf>
    <xf numFmtId="49" fontId="8" borderId="5" applyNumberFormat="1" applyFont="1" applyFill="0" applyBorder="1" applyAlignment="1" applyProtection="0">
      <alignment vertical="center" readingOrder="1"/>
    </xf>
    <xf numFmtId="49" fontId="8" borderId="6" applyNumberFormat="1" applyFont="1" applyFill="0" applyBorder="1" applyAlignment="1" applyProtection="0">
      <alignment vertical="center" readingOrder="1"/>
    </xf>
    <xf numFmtId="49" fontId="8" borderId="7" applyNumberFormat="1" applyFont="1" applyFill="0" applyBorder="1" applyAlignment="1" applyProtection="0">
      <alignment vertical="center" readingOrder="1"/>
    </xf>
    <xf numFmtId="49" fontId="8" borderId="8" applyNumberFormat="1" applyFont="1" applyFill="0" applyBorder="1" applyAlignment="1" applyProtection="0">
      <alignment vertical="center" readingOrder="1"/>
    </xf>
    <xf numFmtId="0" fontId="0" applyNumberFormat="1" applyFont="1" applyFill="0" applyBorder="0"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10"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borderId="11" applyNumberFormat="0"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1f2b3d"/>
      <rgbColor rgb="ffd9e2f3"/>
      <rgbColor rgb="ffb9c7d6"/>
      <rgbColor rgb="ffffffff"/>
      <rgbColor rgb="ffa5a5a5"/>
      <rgbColor rgb="ff3f3f3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27</v>
      </c>
      <c r="C11" s="3"/>
      <c r="D11" s="3"/>
    </row>
    <row r="12">
      <c r="B12" s="4"/>
      <c r="C12" t="s" s="4">
        <v>5</v>
      </c>
      <c r="D12" t="s" s="5">
        <v>27</v>
      </c>
    </row>
    <row r="13">
      <c r="B13" t="s" s="3">
        <v>114</v>
      </c>
      <c r="C13" s="3"/>
      <c r="D13" s="3"/>
    </row>
    <row r="14">
      <c r="B14" s="4"/>
      <c r="C14" t="s" s="4">
        <v>5</v>
      </c>
      <c r="D14" t="s" s="5">
        <v>114</v>
      </c>
    </row>
    <row r="15">
      <c r="B15" t="s" s="3">
        <v>168</v>
      </c>
      <c r="C15" s="3"/>
      <c r="D15" s="3"/>
    </row>
    <row r="16">
      <c r="B16" s="4"/>
      <c r="C16" t="s" s="4">
        <v>5</v>
      </c>
      <c r="D16" t="s" s="5">
        <v>168</v>
      </c>
    </row>
    <row r="17">
      <c r="B17" t="s" s="3">
        <v>195</v>
      </c>
      <c r="C17" s="3"/>
      <c r="D17" s="3"/>
    </row>
    <row r="18">
      <c r="B18" s="4"/>
      <c r="C18" t="s" s="4">
        <v>5</v>
      </c>
      <c r="D18" t="s" s="5">
        <v>195</v>
      </c>
    </row>
    <row r="19">
      <c r="B19" t="s" s="3">
        <v>218</v>
      </c>
      <c r="C19" s="3"/>
      <c r="D19" s="3"/>
    </row>
    <row r="20">
      <c r="B20" s="4"/>
      <c r="C20" t="s" s="4">
        <v>5</v>
      </c>
      <c r="D20" t="s" s="5">
        <v>218</v>
      </c>
    </row>
    <row r="21">
      <c r="B21" t="s" s="3">
        <v>243</v>
      </c>
      <c r="C21" s="3"/>
      <c r="D21" s="3"/>
    </row>
    <row r="22">
      <c r="B22" s="4"/>
      <c r="C22" t="s" s="4">
        <v>5</v>
      </c>
      <c r="D22" t="s" s="5">
        <v>243</v>
      </c>
    </row>
  </sheetData>
  <mergeCells count="1">
    <mergeCell ref="B3:D3"/>
  </mergeCells>
  <hyperlinks>
    <hyperlink ref="D10" location="'Сводка'!R1C1" tooltip="" display="Сводка"/>
    <hyperlink ref="D12" location="'План закупки'!R2C1" tooltip="" display="План закупки"/>
    <hyperlink ref="D14" location="'Купить_сейчас'!R1C1" tooltip="" display="Купить_сейчас"/>
    <hyperlink ref="D16" location="'Купить_скоро'!R1C1" tooltip="" display="Купить_скоро"/>
    <hyperlink ref="D18" location="'Отложить'!R1C1" tooltip="" display="Отложить"/>
    <hyperlink ref="D20" location="'Сравнение_вычислителей'!R1C1" tooltip="" display="Сравнение_вычислителей"/>
    <hyperlink ref="D22" location="'Источники'!R1C1" tooltip="" display="Источники"/>
  </hyperlinks>
</worksheet>
</file>

<file path=xl/worksheets/sheet2.xml><?xml version="1.0" encoding="utf-8"?>
<worksheet xmlns:r="http://schemas.openxmlformats.org/officeDocument/2006/relationships" xmlns="http://schemas.openxmlformats.org/spreadsheetml/2006/main">
  <dimension ref="A1:F15"/>
  <sheetViews>
    <sheetView workbookViewId="0" showGridLines="0" defaultGridColor="1"/>
  </sheetViews>
  <sheetFormatPr defaultColWidth="8.83333" defaultRowHeight="15" customHeight="1" outlineLevelRow="0" outlineLevelCol="0"/>
  <cols>
    <col min="1" max="1" width="14" style="6" customWidth="1"/>
    <col min="2" max="2" width="18" style="6" customWidth="1"/>
    <col min="3" max="3" width="28" style="6" customWidth="1"/>
    <col min="4" max="4" width="8" style="6" customWidth="1"/>
    <col min="5" max="5" width="16" style="6" customWidth="1"/>
    <col min="6" max="6" width="28" style="6" customWidth="1"/>
    <col min="7" max="16384" width="8.85156" style="6" customWidth="1"/>
  </cols>
  <sheetData>
    <row r="1" ht="24" customHeight="1">
      <c r="A1" t="s" s="7">
        <v>6</v>
      </c>
      <c r="B1" s="8"/>
      <c r="C1" s="8"/>
      <c r="D1" s="8"/>
      <c r="E1" s="8"/>
      <c r="F1" s="8"/>
    </row>
    <row r="2" ht="24" customHeight="1">
      <c r="A2" t="s" s="9">
        <v>7</v>
      </c>
      <c r="B2" t="s" s="10">
        <v>8</v>
      </c>
      <c r="C2" s="11"/>
      <c r="D2" s="11"/>
      <c r="E2" s="11"/>
      <c r="F2" s="11"/>
    </row>
    <row r="3" ht="24" customHeight="1">
      <c r="A3" s="11"/>
      <c r="B3" s="11"/>
      <c r="C3" s="11"/>
      <c r="D3" s="11"/>
      <c r="E3" s="11"/>
      <c r="F3" s="11"/>
    </row>
    <row r="4" ht="24" customHeight="1">
      <c r="A4" t="s" s="10">
        <v>9</v>
      </c>
      <c r="B4" t="s" s="10">
        <v>10</v>
      </c>
      <c r="C4" s="11"/>
      <c r="D4" s="11"/>
      <c r="E4" s="11"/>
      <c r="F4" s="11"/>
    </row>
    <row r="5" ht="24" customHeight="1">
      <c r="A5" s="11"/>
      <c r="B5" s="11"/>
      <c r="C5" s="11"/>
      <c r="D5" s="11"/>
      <c r="E5" s="11"/>
      <c r="F5" s="11"/>
    </row>
    <row r="6" ht="24" customHeight="1">
      <c r="A6" t="s" s="10">
        <v>11</v>
      </c>
      <c r="B6" t="s" s="10">
        <v>12</v>
      </c>
      <c r="C6" s="11"/>
      <c r="D6" s="11"/>
      <c r="E6" s="11"/>
      <c r="F6" s="11"/>
    </row>
    <row r="7" ht="24" customHeight="1">
      <c r="A7" s="11"/>
      <c r="B7" s="11"/>
      <c r="C7" s="11"/>
      <c r="D7" s="11"/>
      <c r="E7" s="11"/>
      <c r="F7" s="11"/>
    </row>
    <row r="8" ht="24" customHeight="1">
      <c r="A8" t="s" s="10">
        <v>13</v>
      </c>
      <c r="B8" t="s" s="10">
        <v>14</v>
      </c>
      <c r="C8" s="11"/>
      <c r="D8" s="11"/>
      <c r="E8" s="11"/>
      <c r="F8" s="11"/>
    </row>
    <row r="9" ht="24" customHeight="1">
      <c r="A9" s="11"/>
      <c r="B9" s="11"/>
      <c r="C9" s="11"/>
      <c r="D9" s="11"/>
      <c r="E9" s="11"/>
      <c r="F9" s="11"/>
    </row>
    <row r="10" ht="24" customHeight="1">
      <c r="A10" s="11"/>
      <c r="B10" s="11"/>
      <c r="C10" s="11"/>
      <c r="D10" s="11"/>
      <c r="E10" s="11"/>
      <c r="F10" s="11"/>
    </row>
    <row r="11" ht="24" customHeight="1">
      <c r="A11" t="s" s="10">
        <v>15</v>
      </c>
      <c r="B11" t="s" s="10">
        <v>16</v>
      </c>
      <c r="C11" t="s" s="10">
        <v>17</v>
      </c>
      <c r="D11" t="s" s="10">
        <v>18</v>
      </c>
      <c r="E11" s="11"/>
      <c r="F11" s="11"/>
    </row>
    <row r="12" ht="24" customHeight="1">
      <c r="A12" t="s" s="10">
        <v>19</v>
      </c>
      <c r="B12" s="12">
        <v>0</v>
      </c>
      <c r="C12" s="12">
        <v>0</v>
      </c>
      <c r="D12" t="s" s="10">
        <v>20</v>
      </c>
      <c r="E12" s="11"/>
      <c r="F12" s="11"/>
    </row>
    <row r="13" ht="24" customHeight="1">
      <c r="A13" t="s" s="10">
        <v>21</v>
      </c>
      <c r="B13" s="12">
        <v>7500</v>
      </c>
      <c r="C13" s="12">
        <v>20000</v>
      </c>
      <c r="D13" t="s" s="10">
        <v>22</v>
      </c>
      <c r="E13" s="11"/>
      <c r="F13" s="11"/>
    </row>
    <row r="14" ht="24" customHeight="1">
      <c r="A14" t="s" s="10">
        <v>23</v>
      </c>
      <c r="B14" s="12">
        <v>12000</v>
      </c>
      <c r="C14" s="12">
        <v>17000</v>
      </c>
      <c r="D14" t="s" s="10">
        <v>24</v>
      </c>
      <c r="E14" s="11"/>
      <c r="F14" s="11"/>
    </row>
    <row r="15" ht="24" customHeight="1">
      <c r="A15" t="s" s="10">
        <v>25</v>
      </c>
      <c r="B15" s="12">
        <f>SUM('Отложить'!I2:I5)</f>
        <v>35000</v>
      </c>
      <c r="C15" s="12">
        <f>SUM('Отложить'!J2:J5)</f>
        <v>90000</v>
      </c>
      <c r="D15" t="s" s="10">
        <v>26</v>
      </c>
      <c r="E15" s="11"/>
      <c r="F15" s="1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G29"/>
  <sheetViews>
    <sheetView workbookViewId="0" showGridLines="0" defaultGridColor="1">
      <pane topLeftCell="B3" xSplit="1" ySplit="2" activePane="bottomRight" state="frozen"/>
    </sheetView>
  </sheetViews>
  <sheetFormatPr defaultColWidth="16.3333" defaultRowHeight="15.4" customHeight="1" outlineLevelRow="0" outlineLevelCol="0"/>
  <cols>
    <col min="1" max="1" width="16.3516" style="13" customWidth="1"/>
    <col min="2" max="2" width="35.5781" style="13" customWidth="1"/>
    <col min="3" max="7" width="16.3516" style="13" customWidth="1"/>
    <col min="8" max="16384" width="16.3516" style="13" customWidth="1"/>
  </cols>
  <sheetData>
    <row r="1" ht="15.55" customHeight="1">
      <c r="A1" t="s" s="14">
        <v>5</v>
      </c>
      <c r="B1" s="14"/>
      <c r="C1" s="14"/>
      <c r="D1" s="14"/>
      <c r="E1" s="14"/>
      <c r="F1" s="14"/>
      <c r="G1" s="14"/>
    </row>
    <row r="2" ht="16.55" customHeight="1">
      <c r="A2" t="s" s="15">
        <v>28</v>
      </c>
      <c r="B2" t="s" s="15">
        <v>29</v>
      </c>
      <c r="C2" t="s" s="15">
        <v>30</v>
      </c>
      <c r="D2" t="s" s="15">
        <v>31</v>
      </c>
      <c r="E2" t="s" s="15">
        <v>32</v>
      </c>
      <c r="F2" t="s" s="15">
        <v>33</v>
      </c>
      <c r="G2" t="s" s="15">
        <v>34</v>
      </c>
    </row>
    <row r="3" ht="16.55" customHeight="1">
      <c r="A3" t="s" s="16">
        <v>35</v>
      </c>
      <c r="B3" t="s" s="17">
        <v>36</v>
      </c>
      <c r="C3" t="s" s="18">
        <v>37</v>
      </c>
      <c r="D3" t="s" s="18">
        <v>37</v>
      </c>
      <c r="E3" t="s" s="18">
        <v>38</v>
      </c>
      <c r="F3" t="s" s="18">
        <v>38</v>
      </c>
      <c r="G3" t="s" s="18">
        <v>38</v>
      </c>
    </row>
    <row r="4" ht="16.35" customHeight="1">
      <c r="A4" t="s" s="19">
        <v>39</v>
      </c>
      <c r="B4" t="s" s="20">
        <v>40</v>
      </c>
      <c r="C4" t="s" s="21">
        <v>37</v>
      </c>
      <c r="D4" t="s" s="21">
        <v>37</v>
      </c>
      <c r="E4" t="s" s="21">
        <v>38</v>
      </c>
      <c r="F4" t="s" s="21">
        <v>38</v>
      </c>
      <c r="G4" t="s" s="21">
        <v>38</v>
      </c>
    </row>
    <row r="5" ht="16.35" customHeight="1">
      <c r="A5" t="s" s="19">
        <v>41</v>
      </c>
      <c r="B5" t="s" s="20">
        <v>42</v>
      </c>
      <c r="C5" t="s" s="21">
        <v>37</v>
      </c>
      <c r="D5" t="s" s="21">
        <v>37</v>
      </c>
      <c r="E5" t="s" s="21">
        <v>38</v>
      </c>
      <c r="F5" t="s" s="21">
        <v>38</v>
      </c>
      <c r="G5" t="s" s="21">
        <v>38</v>
      </c>
    </row>
    <row r="6" ht="16.35" customHeight="1">
      <c r="A6" t="s" s="19">
        <v>43</v>
      </c>
      <c r="B6" t="s" s="20">
        <v>44</v>
      </c>
      <c r="C6" t="s" s="21">
        <v>37</v>
      </c>
      <c r="D6" t="s" s="21">
        <v>37</v>
      </c>
      <c r="E6" t="s" s="21">
        <v>38</v>
      </c>
      <c r="F6" t="s" s="21">
        <v>38</v>
      </c>
      <c r="G6" t="s" s="21">
        <v>38</v>
      </c>
    </row>
    <row r="7" ht="16.35" customHeight="1">
      <c r="A7" t="s" s="19">
        <v>45</v>
      </c>
      <c r="B7" t="s" s="20">
        <v>46</v>
      </c>
      <c r="C7" t="s" s="21">
        <v>37</v>
      </c>
      <c r="D7" t="s" s="21">
        <v>37</v>
      </c>
      <c r="E7" t="s" s="21">
        <v>38</v>
      </c>
      <c r="F7" t="s" s="21">
        <v>38</v>
      </c>
      <c r="G7" t="s" s="21">
        <v>38</v>
      </c>
    </row>
    <row r="8" ht="16.35" customHeight="1">
      <c r="A8" t="s" s="19">
        <v>47</v>
      </c>
      <c r="B8" t="s" s="20">
        <v>48</v>
      </c>
      <c r="C8" t="s" s="21">
        <v>37</v>
      </c>
      <c r="D8" t="s" s="21">
        <v>37</v>
      </c>
      <c r="E8" t="s" s="21">
        <v>38</v>
      </c>
      <c r="F8" t="s" s="21">
        <v>49</v>
      </c>
      <c r="G8" t="s" s="21">
        <v>50</v>
      </c>
    </row>
    <row r="9" ht="16.35" customHeight="1">
      <c r="A9" t="s" s="19">
        <v>51</v>
      </c>
      <c r="B9" t="s" s="20">
        <v>52</v>
      </c>
      <c r="C9" t="s" s="21">
        <v>37</v>
      </c>
      <c r="D9" t="s" s="21">
        <v>37</v>
      </c>
      <c r="E9" t="s" s="21">
        <v>38</v>
      </c>
      <c r="F9" t="s" s="21">
        <v>53</v>
      </c>
      <c r="G9" t="s" s="21">
        <v>54</v>
      </c>
    </row>
    <row r="10" ht="16.35" customHeight="1">
      <c r="A10" t="s" s="19">
        <v>55</v>
      </c>
      <c r="B10" t="s" s="20">
        <v>56</v>
      </c>
      <c r="C10" t="s" s="21">
        <v>37</v>
      </c>
      <c r="D10" t="s" s="21">
        <v>37</v>
      </c>
      <c r="E10" t="s" s="21">
        <v>38</v>
      </c>
      <c r="F10" t="s" s="21">
        <v>37</v>
      </c>
      <c r="G10" t="s" s="21">
        <v>38</v>
      </c>
    </row>
    <row r="11" ht="16.35" customHeight="1">
      <c r="A11" t="s" s="19">
        <v>57</v>
      </c>
      <c r="B11" t="s" s="20">
        <v>58</v>
      </c>
      <c r="C11" t="s" s="21">
        <v>38</v>
      </c>
      <c r="D11" t="s" s="21">
        <v>38</v>
      </c>
      <c r="E11" t="s" s="21">
        <v>59</v>
      </c>
      <c r="F11" t="s" s="21">
        <v>38</v>
      </c>
      <c r="G11" t="s" s="21">
        <v>60</v>
      </c>
    </row>
    <row r="12" ht="16.35" customHeight="1">
      <c r="A12" t="s" s="19">
        <v>57</v>
      </c>
      <c r="B12" t="s" s="20">
        <v>61</v>
      </c>
      <c r="C12" t="s" s="21">
        <v>38</v>
      </c>
      <c r="D12" t="s" s="21">
        <v>38</v>
      </c>
      <c r="E12" t="s" s="21">
        <v>62</v>
      </c>
      <c r="F12" t="s" s="21">
        <v>38</v>
      </c>
      <c r="G12" t="s" s="21">
        <v>37</v>
      </c>
    </row>
    <row r="13" ht="16.35" customHeight="1">
      <c r="A13" t="s" s="19">
        <v>63</v>
      </c>
      <c r="B13" t="s" s="20">
        <v>64</v>
      </c>
      <c r="C13" t="s" s="21">
        <v>38</v>
      </c>
      <c r="D13" t="s" s="21">
        <v>38</v>
      </c>
      <c r="E13" t="s" s="21">
        <v>37</v>
      </c>
      <c r="F13" t="s" s="21">
        <v>38</v>
      </c>
      <c r="G13" t="s" s="21">
        <v>37</v>
      </c>
    </row>
    <row r="14" ht="16.35" customHeight="1">
      <c r="A14" t="s" s="19">
        <v>65</v>
      </c>
      <c r="B14" t="s" s="20">
        <v>66</v>
      </c>
      <c r="C14" t="s" s="21">
        <v>38</v>
      </c>
      <c r="D14" t="s" s="21">
        <v>67</v>
      </c>
      <c r="E14" t="s" s="21">
        <v>37</v>
      </c>
      <c r="F14" t="s" s="21">
        <v>68</v>
      </c>
      <c r="G14" t="s" s="21">
        <v>69</v>
      </c>
    </row>
    <row r="15" ht="16.35" customHeight="1">
      <c r="A15" t="s" s="19">
        <v>70</v>
      </c>
      <c r="B15" t="s" s="20">
        <v>71</v>
      </c>
      <c r="C15" t="s" s="21">
        <v>38</v>
      </c>
      <c r="D15" t="s" s="21">
        <v>67</v>
      </c>
      <c r="E15" t="s" s="21">
        <v>37</v>
      </c>
      <c r="F15" t="s" s="21">
        <v>72</v>
      </c>
      <c r="G15" t="s" s="21">
        <v>73</v>
      </c>
    </row>
    <row r="16" ht="16.35" customHeight="1">
      <c r="A16" t="s" s="19">
        <v>74</v>
      </c>
      <c r="B16" t="s" s="20">
        <v>75</v>
      </c>
      <c r="C16" t="s" s="21">
        <v>38</v>
      </c>
      <c r="D16" t="s" s="21">
        <v>38</v>
      </c>
      <c r="E16" t="s" s="21">
        <v>37</v>
      </c>
      <c r="F16" t="s" s="21">
        <v>38</v>
      </c>
      <c r="G16" t="s" s="21">
        <v>37</v>
      </c>
    </row>
    <row r="17" ht="16.35" customHeight="1">
      <c r="A17" t="s" s="19">
        <v>76</v>
      </c>
      <c r="B17" t="s" s="20">
        <v>77</v>
      </c>
      <c r="C17" t="s" s="21">
        <v>38</v>
      </c>
      <c r="D17" t="s" s="21">
        <v>38</v>
      </c>
      <c r="E17" t="s" s="21">
        <v>37</v>
      </c>
      <c r="F17" t="s" s="21">
        <v>38</v>
      </c>
      <c r="G17" t="s" s="21">
        <v>78</v>
      </c>
    </row>
    <row r="18" ht="16.35" customHeight="1">
      <c r="A18" t="s" s="19">
        <v>41</v>
      </c>
      <c r="B18" t="s" s="20">
        <v>79</v>
      </c>
      <c r="C18" t="s" s="21">
        <v>38</v>
      </c>
      <c r="D18" t="s" s="21">
        <v>38</v>
      </c>
      <c r="E18" t="s" s="21">
        <v>37</v>
      </c>
      <c r="F18" t="s" s="21">
        <v>38</v>
      </c>
      <c r="G18" t="s" s="21">
        <v>37</v>
      </c>
    </row>
    <row r="19" ht="16.35" customHeight="1">
      <c r="A19" t="s" s="19">
        <v>80</v>
      </c>
      <c r="B19" t="s" s="20">
        <v>81</v>
      </c>
      <c r="C19" t="s" s="21">
        <v>38</v>
      </c>
      <c r="D19" t="s" s="21">
        <v>38</v>
      </c>
      <c r="E19" t="s" s="21">
        <v>37</v>
      </c>
      <c r="F19" t="s" s="21">
        <v>38</v>
      </c>
      <c r="G19" t="s" s="21">
        <v>37</v>
      </c>
    </row>
    <row r="20" ht="16.35" customHeight="1">
      <c r="A20" t="s" s="19">
        <v>82</v>
      </c>
      <c r="B20" t="s" s="20">
        <v>83</v>
      </c>
      <c r="C20" t="s" s="21">
        <v>84</v>
      </c>
      <c r="D20" t="s" s="21">
        <v>37</v>
      </c>
      <c r="E20" t="s" s="21">
        <v>38</v>
      </c>
      <c r="F20" t="s" s="21">
        <v>85</v>
      </c>
      <c r="G20" t="s" s="21">
        <v>86</v>
      </c>
    </row>
    <row r="21" ht="16.35" customHeight="1">
      <c r="A21" t="s" s="19">
        <v>82</v>
      </c>
      <c r="B21" t="s" s="20">
        <v>87</v>
      </c>
      <c r="C21" t="s" s="21">
        <v>84</v>
      </c>
      <c r="D21" t="s" s="21">
        <v>37</v>
      </c>
      <c r="E21" t="s" s="21">
        <v>38</v>
      </c>
      <c r="F21" t="s" s="21">
        <v>85</v>
      </c>
      <c r="G21" t="s" s="21">
        <v>88</v>
      </c>
    </row>
    <row r="22" ht="16.35" customHeight="1">
      <c r="A22" t="s" s="19">
        <v>82</v>
      </c>
      <c r="B22" t="s" s="20">
        <v>89</v>
      </c>
      <c r="C22" t="s" s="21">
        <v>84</v>
      </c>
      <c r="D22" t="s" s="21">
        <v>90</v>
      </c>
      <c r="E22" t="s" s="21">
        <v>38</v>
      </c>
      <c r="F22" t="s" s="21">
        <v>91</v>
      </c>
      <c r="G22" t="s" s="21">
        <v>92</v>
      </c>
    </row>
    <row r="23" ht="16.35" customHeight="1">
      <c r="A23" t="s" s="19">
        <v>82</v>
      </c>
      <c r="B23" t="s" s="20">
        <v>93</v>
      </c>
      <c r="C23" t="s" s="21">
        <v>84</v>
      </c>
      <c r="D23" t="s" s="21">
        <v>90</v>
      </c>
      <c r="E23" t="s" s="21">
        <v>38</v>
      </c>
      <c r="F23" t="s" s="21">
        <v>94</v>
      </c>
      <c r="G23" t="s" s="21">
        <v>92</v>
      </c>
    </row>
    <row r="24" ht="16.35" customHeight="1">
      <c r="A24" t="s" s="19">
        <v>82</v>
      </c>
      <c r="B24" t="s" s="20">
        <v>95</v>
      </c>
      <c r="C24" t="s" s="21">
        <v>84</v>
      </c>
      <c r="D24" t="s" s="21">
        <v>90</v>
      </c>
      <c r="E24" t="s" s="21">
        <v>38</v>
      </c>
      <c r="F24" t="s" s="21">
        <v>96</v>
      </c>
      <c r="G24" t="s" s="21">
        <v>92</v>
      </c>
    </row>
    <row r="25" ht="16.35" customHeight="1">
      <c r="A25" t="s" s="19">
        <v>82</v>
      </c>
      <c r="B25" t="s" s="20">
        <v>97</v>
      </c>
      <c r="C25" t="s" s="21">
        <v>84</v>
      </c>
      <c r="D25" t="s" s="21">
        <v>98</v>
      </c>
      <c r="E25" t="s" s="21">
        <v>38</v>
      </c>
      <c r="F25" t="s" s="21">
        <v>99</v>
      </c>
      <c r="G25" t="s" s="21">
        <v>100</v>
      </c>
    </row>
    <row r="26" ht="16.35" customHeight="1">
      <c r="A26" t="s" s="19">
        <v>82</v>
      </c>
      <c r="B26" t="s" s="20">
        <v>101</v>
      </c>
      <c r="C26" t="s" s="21">
        <v>84</v>
      </c>
      <c r="D26" t="s" s="21">
        <v>37</v>
      </c>
      <c r="E26" t="s" s="21">
        <v>38</v>
      </c>
      <c r="F26" t="s" s="21">
        <v>102</v>
      </c>
      <c r="G26" t="s" s="21">
        <v>103</v>
      </c>
    </row>
    <row r="27" ht="16.35" customHeight="1">
      <c r="A27" t="s" s="19">
        <v>82</v>
      </c>
      <c r="B27" t="s" s="20">
        <v>104</v>
      </c>
      <c r="C27" t="s" s="21">
        <v>84</v>
      </c>
      <c r="D27" t="s" s="21">
        <v>105</v>
      </c>
      <c r="E27" t="s" s="21">
        <v>38</v>
      </c>
      <c r="F27" t="s" s="21">
        <v>106</v>
      </c>
      <c r="G27" t="s" s="21">
        <v>107</v>
      </c>
    </row>
    <row r="28" ht="16.35" customHeight="1">
      <c r="A28" t="s" s="19">
        <v>82</v>
      </c>
      <c r="B28" t="s" s="20">
        <v>108</v>
      </c>
      <c r="C28" t="s" s="21">
        <v>84</v>
      </c>
      <c r="D28" t="s" s="21">
        <v>37</v>
      </c>
      <c r="E28" t="s" s="21">
        <v>38</v>
      </c>
      <c r="F28" t="s" s="21">
        <v>37</v>
      </c>
      <c r="G28" t="s" s="21">
        <v>109</v>
      </c>
    </row>
    <row r="29" ht="16.35" customHeight="1">
      <c r="A29" t="s" s="19">
        <v>110</v>
      </c>
      <c r="B29" t="s" s="20">
        <v>111</v>
      </c>
      <c r="C29" t="s" s="21">
        <v>84</v>
      </c>
      <c r="D29" t="s" s="21">
        <v>37</v>
      </c>
      <c r="E29" t="s" s="21">
        <v>38</v>
      </c>
      <c r="F29" t="s" s="21">
        <v>112</v>
      </c>
      <c r="G29" t="s" s="21">
        <v>113</v>
      </c>
    </row>
  </sheetData>
  <mergeCells count="1">
    <mergeCell ref="A1:G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L10"/>
  <sheetViews>
    <sheetView workbookViewId="0" showGridLines="0" defaultGridColor="1"/>
  </sheetViews>
  <sheetFormatPr defaultColWidth="8.83333" defaultRowHeight="15" customHeight="1" outlineLevelRow="0" outlineLevelCol="0"/>
  <cols>
    <col min="1" max="1" width="14" style="22" customWidth="1"/>
    <col min="2" max="2" width="18" style="22" customWidth="1"/>
    <col min="3" max="3" width="28" style="22" customWidth="1"/>
    <col min="4" max="4" width="8" style="22" customWidth="1"/>
    <col min="5" max="5" width="16" style="22" customWidth="1"/>
    <col min="6" max="6" width="28" style="22" customWidth="1"/>
    <col min="7" max="7" width="30" style="22" customWidth="1"/>
    <col min="8" max="8" width="28" style="22" customWidth="1"/>
    <col min="9" max="10" width="14" style="22" customWidth="1"/>
    <col min="11" max="11" width="18" style="22" customWidth="1"/>
    <col min="12" max="12" width="28" style="22" customWidth="1"/>
    <col min="13" max="16384" width="8.85156" style="22" customWidth="1"/>
  </cols>
  <sheetData>
    <row r="1" ht="24" customHeight="1">
      <c r="A1" t="s" s="7">
        <v>115</v>
      </c>
      <c r="B1" t="s" s="7">
        <v>116</v>
      </c>
      <c r="C1" t="s" s="7">
        <v>29</v>
      </c>
      <c r="D1" t="s" s="7">
        <v>117</v>
      </c>
      <c r="E1" t="s" s="7">
        <v>118</v>
      </c>
      <c r="F1" t="s" s="7">
        <v>119</v>
      </c>
      <c r="G1" t="s" s="7">
        <v>120</v>
      </c>
      <c r="H1" t="s" s="7">
        <v>121</v>
      </c>
      <c r="I1" t="s" s="7">
        <v>122</v>
      </c>
      <c r="J1" t="s" s="7">
        <v>123</v>
      </c>
      <c r="K1" t="s" s="7">
        <v>124</v>
      </c>
      <c r="L1" t="s" s="7">
        <v>18</v>
      </c>
    </row>
    <row r="2" ht="24" customHeight="1">
      <c r="A2" t="s" s="10">
        <v>125</v>
      </c>
      <c r="B2" t="s" s="10">
        <v>35</v>
      </c>
      <c r="C2" t="s" s="10">
        <v>36</v>
      </c>
      <c r="D2" s="12">
        <v>1</v>
      </c>
      <c r="E2" t="s" s="10">
        <v>19</v>
      </c>
      <c r="F2" t="s" s="10">
        <v>126</v>
      </c>
      <c r="G2" t="s" s="10">
        <v>127</v>
      </c>
      <c r="H2" t="s" s="10">
        <v>128</v>
      </c>
      <c r="I2" s="12">
        <v>13000</v>
      </c>
      <c r="J2" s="12">
        <v>20000</v>
      </c>
      <c r="K2" t="s" s="10">
        <v>129</v>
      </c>
      <c r="L2" t="s" s="10">
        <v>130</v>
      </c>
    </row>
    <row r="3" ht="24" customHeight="1">
      <c r="A3" t="s" s="10">
        <v>125</v>
      </c>
      <c r="B3" t="s" s="10">
        <v>39</v>
      </c>
      <c r="C3" t="s" s="10">
        <v>131</v>
      </c>
      <c r="D3" s="12">
        <v>1</v>
      </c>
      <c r="E3" t="s" s="10">
        <v>19</v>
      </c>
      <c r="F3" t="s" s="10">
        <v>132</v>
      </c>
      <c r="G3" t="s" s="10">
        <v>133</v>
      </c>
      <c r="H3" t="s" s="10">
        <v>134</v>
      </c>
      <c r="I3" s="12">
        <v>13000</v>
      </c>
      <c r="J3" s="12">
        <v>22000</v>
      </c>
      <c r="K3" t="s" s="10">
        <v>129</v>
      </c>
      <c r="L3" t="s" s="10">
        <v>135</v>
      </c>
    </row>
    <row r="4" ht="24" customHeight="1">
      <c r="A4" t="s" s="10">
        <v>125</v>
      </c>
      <c r="B4" t="s" s="10">
        <v>41</v>
      </c>
      <c r="C4" t="s" s="10">
        <v>136</v>
      </c>
      <c r="D4" s="12">
        <v>1</v>
      </c>
      <c r="E4" t="s" s="10">
        <v>19</v>
      </c>
      <c r="F4" t="s" s="10">
        <v>137</v>
      </c>
      <c r="G4" t="s" s="10">
        <v>138</v>
      </c>
      <c r="H4" t="s" s="10">
        <v>139</v>
      </c>
      <c r="I4" s="12">
        <v>4000</v>
      </c>
      <c r="J4" s="12">
        <v>10000</v>
      </c>
      <c r="K4" t="s" s="10">
        <v>129</v>
      </c>
      <c r="L4" t="s" s="10">
        <v>140</v>
      </c>
    </row>
    <row r="5" ht="24" customHeight="1">
      <c r="A5" t="s" s="10">
        <v>125</v>
      </c>
      <c r="B5" t="s" s="10">
        <v>43</v>
      </c>
      <c r="C5" t="s" s="10">
        <v>141</v>
      </c>
      <c r="D5" s="12">
        <v>1</v>
      </c>
      <c r="E5" t="s" s="10">
        <v>19</v>
      </c>
      <c r="F5" t="s" s="10">
        <v>142</v>
      </c>
      <c r="G5" t="s" s="10">
        <v>143</v>
      </c>
      <c r="H5" t="s" s="10">
        <v>144</v>
      </c>
      <c r="I5" s="12">
        <v>1500</v>
      </c>
      <c r="J5" s="12">
        <v>4000</v>
      </c>
      <c r="K5" t="s" s="10">
        <v>129</v>
      </c>
      <c r="L5" t="s" s="10">
        <v>145</v>
      </c>
    </row>
    <row r="6" ht="24" customHeight="1">
      <c r="A6" t="s" s="10">
        <v>125</v>
      </c>
      <c r="B6" t="s" s="10">
        <v>45</v>
      </c>
      <c r="C6" t="s" s="10">
        <v>146</v>
      </c>
      <c r="D6" s="12">
        <v>1</v>
      </c>
      <c r="E6" t="s" s="10">
        <v>19</v>
      </c>
      <c r="F6" t="s" s="10">
        <v>147</v>
      </c>
      <c r="G6" t="s" s="10">
        <v>148</v>
      </c>
      <c r="H6" t="s" s="10">
        <v>149</v>
      </c>
      <c r="I6" s="12">
        <v>700</v>
      </c>
      <c r="J6" s="12">
        <v>2500</v>
      </c>
      <c r="K6" t="s" s="10">
        <v>129</v>
      </c>
      <c r="L6" t="s" s="10">
        <v>150</v>
      </c>
    </row>
    <row r="7" ht="24" customHeight="1">
      <c r="A7" t="s" s="10">
        <v>125</v>
      </c>
      <c r="B7" t="s" s="10">
        <v>47</v>
      </c>
      <c r="C7" t="s" s="10">
        <v>151</v>
      </c>
      <c r="D7" s="12">
        <v>1</v>
      </c>
      <c r="E7" t="s" s="10">
        <v>19</v>
      </c>
      <c r="F7" t="s" s="10">
        <v>152</v>
      </c>
      <c r="G7" t="s" s="10">
        <v>153</v>
      </c>
      <c r="H7" t="s" s="10">
        <v>154</v>
      </c>
      <c r="I7" s="12">
        <v>3000</v>
      </c>
      <c r="J7" s="12">
        <v>10000</v>
      </c>
      <c r="K7" t="s" s="10">
        <v>129</v>
      </c>
      <c r="L7" t="s" s="10">
        <v>155</v>
      </c>
    </row>
    <row r="8" ht="24" customHeight="1">
      <c r="A8" t="s" s="10">
        <v>125</v>
      </c>
      <c r="B8" t="s" s="10">
        <v>51</v>
      </c>
      <c r="C8" t="s" s="10">
        <v>156</v>
      </c>
      <c r="D8" s="12">
        <v>1</v>
      </c>
      <c r="E8" t="s" s="10">
        <v>19</v>
      </c>
      <c r="F8" t="s" s="10">
        <v>157</v>
      </c>
      <c r="G8" t="s" s="10">
        <v>158</v>
      </c>
      <c r="H8" t="s" s="10">
        <v>159</v>
      </c>
      <c r="I8" s="12">
        <v>400</v>
      </c>
      <c r="J8" s="12">
        <v>2000</v>
      </c>
      <c r="K8" t="s" s="10">
        <v>129</v>
      </c>
      <c r="L8" t="s" s="10">
        <v>160</v>
      </c>
    </row>
    <row r="9" ht="24" customHeight="1">
      <c r="A9" t="s" s="10">
        <v>125</v>
      </c>
      <c r="B9" t="s" s="10">
        <v>161</v>
      </c>
      <c r="C9" t="s" s="10">
        <v>162</v>
      </c>
      <c r="D9" s="12">
        <v>1</v>
      </c>
      <c r="E9" t="s" s="10">
        <v>19</v>
      </c>
      <c r="F9" t="s" s="10">
        <v>163</v>
      </c>
      <c r="G9" t="s" s="10">
        <v>164</v>
      </c>
      <c r="H9" t="s" s="10">
        <v>165</v>
      </c>
      <c r="I9" s="12">
        <v>1500</v>
      </c>
      <c r="J9" s="12">
        <v>5000</v>
      </c>
      <c r="K9" t="s" s="10">
        <v>166</v>
      </c>
      <c r="L9" t="s" s="10">
        <v>167</v>
      </c>
    </row>
    <row r="10" ht="13.55" customHeight="1">
      <c r="A10" s="23"/>
      <c r="B10" s="23"/>
      <c r="C10" s="23"/>
      <c r="D10" s="23"/>
      <c r="E10" s="23"/>
      <c r="F10" s="23"/>
      <c r="G10" s="23"/>
      <c r="H10" s="23"/>
      <c r="I10" s="23"/>
      <c r="J10" s="23"/>
      <c r="K10" s="23"/>
      <c r="L10" s="23"/>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L10"/>
  <sheetViews>
    <sheetView workbookViewId="0" showGridLines="0" defaultGridColor="1"/>
  </sheetViews>
  <sheetFormatPr defaultColWidth="8.83333" defaultRowHeight="15" customHeight="1" outlineLevelRow="0" outlineLevelCol="0"/>
  <cols>
    <col min="1" max="1" width="14" style="24" customWidth="1"/>
    <col min="2" max="2" width="18" style="24" customWidth="1"/>
    <col min="3" max="3" width="28" style="24" customWidth="1"/>
    <col min="4" max="4" width="8" style="24" customWidth="1"/>
    <col min="5" max="5" width="16" style="24" customWidth="1"/>
    <col min="6" max="6" width="28" style="24" customWidth="1"/>
    <col min="7" max="7" width="30" style="24" customWidth="1"/>
    <col min="8" max="8" width="28" style="24" customWidth="1"/>
    <col min="9" max="10" width="14" style="24" customWidth="1"/>
    <col min="11" max="11" width="18" style="24" customWidth="1"/>
    <col min="12" max="12" width="28" style="24" customWidth="1"/>
    <col min="13" max="16384" width="8.85156" style="24" customWidth="1"/>
  </cols>
  <sheetData>
    <row r="1" ht="24" customHeight="1">
      <c r="A1" t="s" s="7">
        <v>115</v>
      </c>
      <c r="B1" t="s" s="7">
        <v>116</v>
      </c>
      <c r="C1" t="s" s="7">
        <v>29</v>
      </c>
      <c r="D1" t="s" s="7">
        <v>117</v>
      </c>
      <c r="E1" t="s" s="7">
        <v>118</v>
      </c>
      <c r="F1" t="s" s="7">
        <v>119</v>
      </c>
      <c r="G1" t="s" s="7">
        <v>120</v>
      </c>
      <c r="H1" t="s" s="7">
        <v>121</v>
      </c>
      <c r="I1" t="s" s="7">
        <v>122</v>
      </c>
      <c r="J1" t="s" s="7">
        <v>123</v>
      </c>
      <c r="K1" t="s" s="7">
        <v>124</v>
      </c>
      <c r="L1" t="s" s="7">
        <v>18</v>
      </c>
    </row>
    <row r="2" ht="24" customHeight="1">
      <c r="A2" t="s" s="10">
        <v>169</v>
      </c>
      <c r="B2" t="s" s="10">
        <v>57</v>
      </c>
      <c r="C2" t="s" s="10">
        <v>170</v>
      </c>
      <c r="D2" s="12">
        <v>1</v>
      </c>
      <c r="E2" t="s" s="10">
        <v>171</v>
      </c>
      <c r="F2" t="s" s="10">
        <v>58</v>
      </c>
      <c r="G2" t="s" s="10">
        <v>172</v>
      </c>
      <c r="H2" t="s" s="10">
        <v>173</v>
      </c>
      <c r="I2" s="12">
        <v>3000</v>
      </c>
      <c r="J2" s="12">
        <v>8000</v>
      </c>
      <c r="K2" t="s" s="10">
        <v>174</v>
      </c>
      <c r="L2" t="s" s="10">
        <v>175</v>
      </c>
    </row>
    <row r="3" ht="24" customHeight="1">
      <c r="A3" t="s" s="10">
        <v>169</v>
      </c>
      <c r="B3" t="s" s="10">
        <v>57</v>
      </c>
      <c r="C3" t="s" s="10">
        <v>176</v>
      </c>
      <c r="D3" s="12">
        <v>1</v>
      </c>
      <c r="E3" t="s" s="10">
        <v>171</v>
      </c>
      <c r="F3" t="s" s="10">
        <v>61</v>
      </c>
      <c r="G3" t="s" s="10">
        <v>58</v>
      </c>
      <c r="H3" t="s" s="10">
        <v>177</v>
      </c>
      <c r="I3" s="12">
        <v>15000</v>
      </c>
      <c r="J3" s="12">
        <v>25000</v>
      </c>
      <c r="K3" t="s" s="10">
        <v>178</v>
      </c>
      <c r="L3" t="s" s="10">
        <v>179</v>
      </c>
    </row>
    <row r="4" ht="24" customHeight="1">
      <c r="A4" t="s" s="10">
        <v>169</v>
      </c>
      <c r="B4" t="s" s="10">
        <v>63</v>
      </c>
      <c r="C4" t="s" s="10">
        <v>64</v>
      </c>
      <c r="D4" s="12">
        <v>1</v>
      </c>
      <c r="E4" t="s" s="10">
        <v>171</v>
      </c>
      <c r="F4" t="s" s="10">
        <v>180</v>
      </c>
      <c r="G4" t="s" s="10">
        <v>181</v>
      </c>
      <c r="H4" t="s" s="10">
        <v>182</v>
      </c>
      <c r="I4" s="12">
        <v>2500</v>
      </c>
      <c r="J4" s="12">
        <v>5000</v>
      </c>
      <c r="K4" t="s" s="10">
        <v>174</v>
      </c>
      <c r="L4" t="s" s="10">
        <v>183</v>
      </c>
    </row>
    <row r="5" ht="24" customHeight="1">
      <c r="A5" t="s" s="10">
        <v>169</v>
      </c>
      <c r="B5" t="s" s="10">
        <v>57</v>
      </c>
      <c r="C5" t="s" s="10">
        <v>184</v>
      </c>
      <c r="D5" s="12">
        <v>1</v>
      </c>
      <c r="E5" t="s" s="10">
        <v>171</v>
      </c>
      <c r="F5" t="s" s="10">
        <v>185</v>
      </c>
      <c r="G5" t="s" s="10">
        <v>186</v>
      </c>
      <c r="H5" t="s" s="10">
        <v>187</v>
      </c>
      <c r="I5" s="12">
        <v>1000</v>
      </c>
      <c r="J5" s="12">
        <v>4000</v>
      </c>
      <c r="K5" t="s" s="10">
        <v>174</v>
      </c>
      <c r="L5" t="s" s="10">
        <v>188</v>
      </c>
    </row>
    <row r="6" ht="24" customHeight="1">
      <c r="A6" t="s" s="10">
        <v>169</v>
      </c>
      <c r="B6" t="s" s="10">
        <v>189</v>
      </c>
      <c r="C6" t="s" s="10">
        <v>190</v>
      </c>
      <c r="D6" s="12">
        <v>1</v>
      </c>
      <c r="E6" t="s" s="10">
        <v>171</v>
      </c>
      <c r="F6" t="s" s="10">
        <v>191</v>
      </c>
      <c r="G6" t="s" s="10">
        <v>192</v>
      </c>
      <c r="H6" t="s" s="10">
        <v>193</v>
      </c>
      <c r="I6" s="12">
        <v>1000</v>
      </c>
      <c r="J6" s="12">
        <v>3000</v>
      </c>
      <c r="K6" t="s" s="10">
        <v>174</v>
      </c>
      <c r="L6" t="s" s="10">
        <v>194</v>
      </c>
    </row>
    <row r="7" ht="13.55" customHeight="1">
      <c r="A7" s="23"/>
      <c r="B7" s="23"/>
      <c r="C7" s="23"/>
      <c r="D7" s="23"/>
      <c r="E7" s="23"/>
      <c r="F7" s="23"/>
      <c r="G7" s="23"/>
      <c r="H7" s="23"/>
      <c r="I7" s="23"/>
      <c r="J7" s="23"/>
      <c r="K7" s="23"/>
      <c r="L7" s="23"/>
    </row>
    <row r="8" ht="13.55" customHeight="1">
      <c r="A8" s="25"/>
      <c r="B8" s="25"/>
      <c r="C8" s="25"/>
      <c r="D8" s="25"/>
      <c r="E8" s="25"/>
      <c r="F8" s="25"/>
      <c r="G8" s="25"/>
      <c r="H8" s="25"/>
      <c r="I8" s="25"/>
      <c r="J8" s="25"/>
      <c r="K8" s="25"/>
      <c r="L8" s="25"/>
    </row>
    <row r="9" ht="13.55" customHeight="1">
      <c r="A9" s="25"/>
      <c r="B9" s="25"/>
      <c r="C9" s="25"/>
      <c r="D9" s="25"/>
      <c r="E9" s="25"/>
      <c r="F9" s="25"/>
      <c r="G9" s="25"/>
      <c r="H9" s="25"/>
      <c r="I9" s="25"/>
      <c r="J9" s="25"/>
      <c r="K9" s="25"/>
      <c r="L9" s="25"/>
    </row>
    <row r="10" ht="13.55" customHeight="1">
      <c r="A10" s="25"/>
      <c r="B10" s="25"/>
      <c r="C10" s="25"/>
      <c r="D10" s="25"/>
      <c r="E10" s="25"/>
      <c r="F10" s="25"/>
      <c r="G10" s="25"/>
      <c r="H10" s="25"/>
      <c r="I10" s="25"/>
      <c r="J10" s="25"/>
      <c r="K10" s="25"/>
      <c r="L10" s="25"/>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L10"/>
  <sheetViews>
    <sheetView workbookViewId="0" showGridLines="0" defaultGridColor="1"/>
  </sheetViews>
  <sheetFormatPr defaultColWidth="8.83333" defaultRowHeight="15" customHeight="1" outlineLevelRow="0" outlineLevelCol="0"/>
  <cols>
    <col min="1" max="1" width="14" style="26" customWidth="1"/>
    <col min="2" max="2" width="18" style="26" customWidth="1"/>
    <col min="3" max="3" width="28" style="26" customWidth="1"/>
    <col min="4" max="4" width="8" style="26" customWidth="1"/>
    <col min="5" max="5" width="16" style="26" customWidth="1"/>
    <col min="6" max="6" width="28" style="26" customWidth="1"/>
    <col min="7" max="7" width="30" style="26" customWidth="1"/>
    <col min="8" max="8" width="28" style="26" customWidth="1"/>
    <col min="9" max="10" width="14" style="26" customWidth="1"/>
    <col min="11" max="11" width="18" style="26" customWidth="1"/>
    <col min="12" max="12" width="28" style="26" customWidth="1"/>
    <col min="13" max="16384" width="8.85156" style="26" customWidth="1"/>
  </cols>
  <sheetData>
    <row r="1" ht="24" customHeight="1">
      <c r="A1" t="s" s="7">
        <v>115</v>
      </c>
      <c r="B1" t="s" s="7">
        <v>116</v>
      </c>
      <c r="C1" t="s" s="7">
        <v>29</v>
      </c>
      <c r="D1" t="s" s="7">
        <v>117</v>
      </c>
      <c r="E1" t="s" s="7">
        <v>118</v>
      </c>
      <c r="F1" t="s" s="7">
        <v>119</v>
      </c>
      <c r="G1" t="s" s="7">
        <v>120</v>
      </c>
      <c r="H1" t="s" s="7">
        <v>121</v>
      </c>
      <c r="I1" t="s" s="7">
        <v>122</v>
      </c>
      <c r="J1" t="s" s="7">
        <v>123</v>
      </c>
      <c r="K1" t="s" s="7">
        <v>124</v>
      </c>
      <c r="L1" t="s" s="7">
        <v>18</v>
      </c>
    </row>
    <row r="2" ht="24" customHeight="1">
      <c r="A2" t="s" s="10">
        <v>196</v>
      </c>
      <c r="B2" t="s" s="10">
        <v>197</v>
      </c>
      <c r="C2" t="s" s="10">
        <v>75</v>
      </c>
      <c r="D2" s="12">
        <v>1</v>
      </c>
      <c r="E2" t="s" s="10">
        <v>195</v>
      </c>
      <c r="F2" t="s" s="10">
        <v>198</v>
      </c>
      <c r="G2" t="s" s="10">
        <v>199</v>
      </c>
      <c r="H2" t="s" s="10">
        <v>200</v>
      </c>
      <c r="I2" s="12">
        <v>5000</v>
      </c>
      <c r="J2" s="12">
        <v>15000</v>
      </c>
      <c r="K2" t="s" s="10">
        <v>201</v>
      </c>
      <c r="L2" t="s" s="10">
        <v>202</v>
      </c>
    </row>
    <row r="3" ht="24" customHeight="1">
      <c r="A3" t="s" s="10">
        <v>196</v>
      </c>
      <c r="B3" t="s" s="10">
        <v>203</v>
      </c>
      <c r="C3" t="s" s="10">
        <v>77</v>
      </c>
      <c r="D3" s="12">
        <v>1</v>
      </c>
      <c r="E3" t="s" s="10">
        <v>195</v>
      </c>
      <c r="F3" t="s" s="10">
        <v>204</v>
      </c>
      <c r="G3" t="s" s="10">
        <v>205</v>
      </c>
      <c r="H3" t="s" s="10">
        <v>206</v>
      </c>
      <c r="I3" s="12">
        <v>4000</v>
      </c>
      <c r="J3" s="12">
        <v>15000</v>
      </c>
      <c r="K3" t="s" s="10">
        <v>201</v>
      </c>
      <c r="L3" t="s" s="10">
        <v>207</v>
      </c>
    </row>
    <row r="4" ht="24" customHeight="1">
      <c r="A4" t="s" s="10">
        <v>196</v>
      </c>
      <c r="B4" t="s" s="10">
        <v>41</v>
      </c>
      <c r="C4" t="s" s="10">
        <v>79</v>
      </c>
      <c r="D4" s="12">
        <v>1</v>
      </c>
      <c r="E4" t="s" s="10">
        <v>195</v>
      </c>
      <c r="F4" t="s" s="10">
        <v>208</v>
      </c>
      <c r="G4" t="s" s="10">
        <v>209</v>
      </c>
      <c r="H4" t="s" s="10">
        <v>210</v>
      </c>
      <c r="I4" s="12">
        <v>6000</v>
      </c>
      <c r="J4" s="12">
        <v>20000</v>
      </c>
      <c r="K4" t="s" s="10">
        <v>201</v>
      </c>
      <c r="L4" t="s" s="10">
        <v>211</v>
      </c>
    </row>
    <row r="5" ht="24" customHeight="1">
      <c r="A5" t="s" s="10">
        <v>212</v>
      </c>
      <c r="B5" t="s" s="10">
        <v>35</v>
      </c>
      <c r="C5" t="s" s="10">
        <v>213</v>
      </c>
      <c r="D5" s="12">
        <v>1</v>
      </c>
      <c r="E5" t="s" s="10">
        <v>195</v>
      </c>
      <c r="F5" t="s" s="10">
        <v>214</v>
      </c>
      <c r="G5" t="s" s="10">
        <v>215</v>
      </c>
      <c r="H5" t="s" s="10">
        <v>216</v>
      </c>
      <c r="I5" s="12">
        <v>20000</v>
      </c>
      <c r="J5" s="12">
        <v>40000</v>
      </c>
      <c r="K5" t="s" s="10">
        <v>201</v>
      </c>
      <c r="L5" t="s" s="10">
        <v>217</v>
      </c>
    </row>
    <row r="6" ht="13.55" customHeight="1">
      <c r="A6" s="23"/>
      <c r="B6" s="23"/>
      <c r="C6" s="23"/>
      <c r="D6" s="23"/>
      <c r="E6" s="23"/>
      <c r="F6" s="23"/>
      <c r="G6" s="23"/>
      <c r="H6" s="23"/>
      <c r="I6" s="23"/>
      <c r="J6" s="23"/>
      <c r="K6" s="23"/>
      <c r="L6" s="23"/>
    </row>
    <row r="7" ht="13.55" customHeight="1">
      <c r="A7" s="25"/>
      <c r="B7" s="25"/>
      <c r="C7" s="25"/>
      <c r="D7" s="25"/>
      <c r="E7" s="25"/>
      <c r="F7" s="25"/>
      <c r="G7" s="25"/>
      <c r="H7" s="25"/>
      <c r="I7" s="25"/>
      <c r="J7" s="25"/>
      <c r="K7" s="25"/>
      <c r="L7" s="25"/>
    </row>
    <row r="8" ht="13.55" customHeight="1">
      <c r="A8" s="25"/>
      <c r="B8" s="25"/>
      <c r="C8" s="25"/>
      <c r="D8" s="25"/>
      <c r="E8" s="25"/>
      <c r="F8" s="25"/>
      <c r="G8" s="25"/>
      <c r="H8" s="25"/>
      <c r="I8" s="25"/>
      <c r="J8" s="25"/>
      <c r="K8" s="25"/>
      <c r="L8" s="25"/>
    </row>
    <row r="9" ht="13.55" customHeight="1">
      <c r="A9" s="25"/>
      <c r="B9" s="25"/>
      <c r="C9" s="25"/>
      <c r="D9" s="25"/>
      <c r="E9" s="25"/>
      <c r="F9" s="25"/>
      <c r="G9" s="25"/>
      <c r="H9" s="25"/>
      <c r="I9" s="25"/>
      <c r="J9" s="25"/>
      <c r="K9" s="25"/>
      <c r="L9" s="25"/>
    </row>
    <row r="10" ht="13.55" customHeight="1">
      <c r="A10" s="25"/>
      <c r="B10" s="25"/>
      <c r="C10" s="25"/>
      <c r="D10" s="25"/>
      <c r="E10" s="25"/>
      <c r="F10" s="25"/>
      <c r="G10" s="25"/>
      <c r="H10" s="25"/>
      <c r="I10" s="25"/>
      <c r="J10" s="25"/>
      <c r="K10" s="25"/>
      <c r="L10" s="25"/>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14" style="27" customWidth="1"/>
    <col min="2" max="2" width="18" style="27" customWidth="1"/>
    <col min="3" max="3" width="28" style="27" customWidth="1"/>
    <col min="4" max="4" width="8" style="27" customWidth="1"/>
    <col min="5" max="5" width="8.85156" style="27" customWidth="1"/>
    <col min="6" max="16384" width="8.85156" style="27" customWidth="1"/>
  </cols>
  <sheetData>
    <row r="1" ht="24" customHeight="1">
      <c r="A1" t="s" s="7">
        <v>219</v>
      </c>
      <c r="B1" t="s" s="7">
        <v>220</v>
      </c>
      <c r="C1" t="s" s="7">
        <v>221</v>
      </c>
      <c r="D1" t="s" s="7">
        <v>222</v>
      </c>
      <c r="E1" s="28"/>
    </row>
    <row r="2" ht="24" customHeight="1">
      <c r="A2" t="s" s="10">
        <v>223</v>
      </c>
      <c r="B2" t="s" s="10">
        <v>224</v>
      </c>
      <c r="C2" t="s" s="10">
        <v>225</v>
      </c>
      <c r="D2" t="s" s="10">
        <v>226</v>
      </c>
      <c r="E2" s="28"/>
    </row>
    <row r="3" ht="24" customHeight="1">
      <c r="A3" t="s" s="10">
        <v>227</v>
      </c>
      <c r="B3" t="s" s="10">
        <v>228</v>
      </c>
      <c r="C3" t="s" s="10">
        <v>229</v>
      </c>
      <c r="D3" t="s" s="10">
        <v>230</v>
      </c>
      <c r="E3" s="28"/>
    </row>
    <row r="4" ht="24" customHeight="1">
      <c r="A4" t="s" s="10">
        <v>231</v>
      </c>
      <c r="B4" t="s" s="10">
        <v>232</v>
      </c>
      <c r="C4" t="s" s="10">
        <v>233</v>
      </c>
      <c r="D4" t="s" s="10">
        <v>234</v>
      </c>
      <c r="E4" s="28"/>
    </row>
    <row r="5" ht="24" customHeight="1">
      <c r="A5" t="s" s="10">
        <v>235</v>
      </c>
      <c r="B5" t="s" s="10">
        <v>236</v>
      </c>
      <c r="C5" t="s" s="10">
        <v>237</v>
      </c>
      <c r="D5" t="s" s="10">
        <v>238</v>
      </c>
      <c r="E5" s="28"/>
    </row>
    <row r="6" ht="24" customHeight="1">
      <c r="A6" t="s" s="10">
        <v>239</v>
      </c>
      <c r="B6" t="s" s="10">
        <v>240</v>
      </c>
      <c r="C6" t="s" s="10">
        <v>241</v>
      </c>
      <c r="D6" t="s" s="10">
        <v>242</v>
      </c>
      <c r="E6" s="28"/>
    </row>
    <row r="7" ht="13.55" customHeight="1">
      <c r="A7" s="23"/>
      <c r="B7" s="23"/>
      <c r="C7" s="23"/>
      <c r="D7" s="23"/>
      <c r="E7" s="25"/>
    </row>
    <row r="8" ht="13.55" customHeight="1">
      <c r="A8" s="25"/>
      <c r="B8" s="25"/>
      <c r="C8" s="25"/>
      <c r="D8" s="25"/>
      <c r="E8" s="25"/>
    </row>
    <row r="9" ht="13.55" customHeight="1">
      <c r="A9" s="25"/>
      <c r="B9" s="25"/>
      <c r="C9" s="25"/>
      <c r="D9" s="25"/>
      <c r="E9" s="25"/>
    </row>
    <row r="10" ht="13.55" customHeight="1">
      <c r="A10" s="25"/>
      <c r="B10" s="25"/>
      <c r="C10" s="25"/>
      <c r="D10" s="25"/>
      <c r="E10" s="25"/>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8.83333" defaultRowHeight="15" customHeight="1" outlineLevelRow="0" outlineLevelCol="0"/>
  <cols>
    <col min="1" max="1" width="14" style="29" customWidth="1"/>
    <col min="2" max="2" width="18" style="29" customWidth="1"/>
    <col min="3" max="5" width="8.85156" style="29" customWidth="1"/>
    <col min="6" max="16384" width="8.85156" style="29" customWidth="1"/>
  </cols>
  <sheetData>
    <row r="1" ht="24" customHeight="1">
      <c r="A1" t="s" s="7">
        <v>244</v>
      </c>
      <c r="B1" t="s" s="7">
        <v>245</v>
      </c>
      <c r="C1" s="28"/>
      <c r="D1" s="25"/>
      <c r="E1" s="25"/>
    </row>
    <row r="2" ht="24" customHeight="1">
      <c r="A2" t="s" s="10">
        <v>246</v>
      </c>
      <c r="B2" t="s" s="10">
        <v>247</v>
      </c>
      <c r="C2" s="28"/>
      <c r="D2" s="25"/>
      <c r="E2" s="25"/>
    </row>
    <row r="3" ht="24" customHeight="1">
      <c r="A3" t="s" s="10">
        <v>248</v>
      </c>
      <c r="B3" t="s" s="10">
        <v>249</v>
      </c>
      <c r="C3" s="28"/>
      <c r="D3" s="25"/>
      <c r="E3" s="25"/>
    </row>
    <row r="4" ht="24" customHeight="1">
      <c r="A4" t="s" s="10">
        <v>250</v>
      </c>
      <c r="B4" t="s" s="10">
        <v>251</v>
      </c>
      <c r="C4" s="28"/>
      <c r="D4" s="25"/>
      <c r="E4" s="25"/>
    </row>
    <row r="5" ht="24" customHeight="1">
      <c r="A5" t="s" s="10">
        <v>252</v>
      </c>
      <c r="B5" t="s" s="10">
        <v>253</v>
      </c>
      <c r="C5" s="28"/>
      <c r="D5" s="25"/>
      <c r="E5" s="25"/>
    </row>
    <row r="6" ht="24" customHeight="1">
      <c r="A6" t="s" s="10">
        <v>254</v>
      </c>
      <c r="B6" t="s" s="10">
        <v>255</v>
      </c>
      <c r="C6" s="28"/>
      <c r="D6" s="25"/>
      <c r="E6" s="25"/>
    </row>
    <row r="7" ht="24" customHeight="1">
      <c r="A7" t="s" s="10">
        <v>256</v>
      </c>
      <c r="B7" t="s" s="10">
        <v>257</v>
      </c>
      <c r="C7" s="28"/>
      <c r="D7" s="25"/>
      <c r="E7" s="25"/>
    </row>
    <row r="8" ht="24" customHeight="1">
      <c r="A8" t="s" s="10">
        <v>258</v>
      </c>
      <c r="B8" t="s" s="10">
        <v>259</v>
      </c>
      <c r="C8" s="28"/>
      <c r="D8" s="25"/>
      <c r="E8" s="25"/>
    </row>
    <row r="9" ht="24" customHeight="1">
      <c r="A9" t="s" s="10">
        <v>260</v>
      </c>
      <c r="B9" t="s" s="10">
        <v>261</v>
      </c>
      <c r="C9" s="28"/>
      <c r="D9" s="25"/>
      <c r="E9" s="25"/>
    </row>
    <row r="10" ht="24" customHeight="1">
      <c r="A10" t="s" s="10">
        <v>262</v>
      </c>
      <c r="B10" t="s" s="10">
        <v>263</v>
      </c>
      <c r="C10" s="28"/>
      <c r="D10" s="25"/>
      <c r="E10" s="25"/>
    </row>
    <row r="11" ht="24" customHeight="1">
      <c r="A11" t="s" s="10">
        <v>264</v>
      </c>
      <c r="B11" t="s" s="10">
        <v>265</v>
      </c>
      <c r="C11" s="28"/>
      <c r="D11" s="25"/>
      <c r="E11" s="25"/>
    </row>
    <row r="12" ht="24" customHeight="1">
      <c r="A12" t="s" s="10">
        <v>266</v>
      </c>
      <c r="B12" t="s" s="10">
        <v>267</v>
      </c>
      <c r="C12" s="28"/>
      <c r="D12" s="25"/>
      <c r="E12" s="25"/>
    </row>
    <row r="13" ht="24" customHeight="1">
      <c r="A13" t="s" s="10">
        <v>268</v>
      </c>
      <c r="B13" t="s" s="10">
        <v>269</v>
      </c>
      <c r="C13" s="28"/>
      <c r="D13" s="25"/>
      <c r="E13" s="25"/>
    </row>
    <row r="14" ht="24" customHeight="1">
      <c r="A14" t="s" s="10">
        <v>270</v>
      </c>
      <c r="B14" t="s" s="10">
        <v>271</v>
      </c>
      <c r="C14" s="28"/>
      <c r="D14" s="25"/>
      <c r="E14" s="25"/>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